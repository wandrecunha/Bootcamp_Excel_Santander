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drecunha/Downloads/Dasoboard_XboxGamePass/"/>
    </mc:Choice>
  </mc:AlternateContent>
  <xr:revisionPtr revIDLastSave="0" documentId="8_{E02A1025-46CC-9745-A1A8-C5929F2FFBAA}" xr6:coauthVersionLast="47" xr6:coauthVersionMax="47" xr10:uidLastSave="{00000000-0000-0000-0000-000000000000}"/>
  <bookViews>
    <workbookView xWindow="0" yWindow="0" windowWidth="33600" windowHeight="21000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3" l="1"/>
  <c r="E48" i="3"/>
  <c r="E38" i="3"/>
</calcChain>
</file>

<file path=xl/sharedStrings.xml><?xml version="1.0" encoding="utf-8"?>
<sst xmlns="http://schemas.openxmlformats.org/spreadsheetml/2006/main" count="2018" uniqueCount="325">
  <si>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</si>
  <si>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</si>
  <si>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</si>
  <si>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</si>
  <si>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</si>
  <si>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</si>
  <si>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</si>
  <si>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</si>
  <si>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</si>
  <si>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</si>
  <si>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</si>
  <si>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</si>
  <si>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</si>
  <si>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</si>
  <si>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</si>
  <si>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</si>
  <si>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</si>
  <si>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</si>
  <si>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</si>
  <si>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</si>
  <si>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</si>
  <si>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</si>
  <si>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</si>
  <si>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</si>
  <si>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</si>
  <si>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</si>
  <si>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</si>
  <si>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</si>
  <si>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</si>
  <si>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</si>
  <si>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</si>
  <si>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</si>
  <si>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</si>
  <si>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</si>
  <si>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</si>
  <si>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</si>
  <si>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</si>
  <si>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</si>
  <si>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</si>
  <si>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</si>
  <si>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</si>
  <si>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</si>
  <si>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</si>
  <si>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</si>
  <si>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</si>
  <si>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</si>
  <si>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</si>
  <si>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</si>
  <si>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</si>
  <si>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</si>
  <si>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</si>
  <si>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</si>
  <si>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</si>
  <si>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</si>
  <si>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</si>
  <si>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</si>
  <si>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</si>
  <si>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</si>
  <si>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</si>
  <si>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</si>
  <si>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</si>
  <si>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</si>
  <si>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</si>
  <si>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</si>
  <si>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</si>
  <si>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</si>
  <si>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</si>
  <si>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</si>
  <si>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</si>
  <si>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</si>
  <si>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</si>
  <si>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</si>
  <si>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</si>
  <si>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</si>
  <si>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</si>
  <si>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</si>
  <si>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</si>
  <si>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</si>
  <si>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</si>
  <si>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</si>
  <si>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</si>
  <si>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</si>
  <si>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</si>
  <si>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</si>
  <si>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</si>
  <si>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</si>
  <si>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</si>
  <si>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</si>
  <si>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</si>
  <si>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</si>
  <si>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</si>
  <si>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</si>
  <si>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</si>
  <si>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</si>
  <si>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</si>
  <si>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</si>
  <si>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</si>
  <si>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</si>
  <si>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</si>
  <si>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</si>
  <si>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</si>
  <si>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</si>
  <si>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</si>
  <si>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</si>
  <si>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</si>
  <si>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</si>
  <si>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</si>
  <si>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</si>
  <si>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</si>
  <si>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</si>
  <si>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</si>
  <si>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</si>
  <si>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</si>
  <si>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</si>
  <si>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</si>
  <si>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</si>
  <si>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</si>
  <si>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</si>
  <si>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</si>
  <si>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</si>
  <si>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</si>
  <si>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</si>
  <si>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</si>
  <si>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</si>
  <si>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</si>
  <si>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</si>
  <si>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</si>
  <si>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</si>
  <si>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</si>
  <si>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</si>
  <si>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</si>
  <si>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</si>
  <si>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</si>
  <si>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</si>
  <si>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</si>
  <si>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</si>
  <si>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</si>
  <si>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</si>
  <si>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</si>
  <si>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</si>
  <si>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</si>
  <si>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</si>
  <si>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</si>
  <si>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</si>
  <si>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</si>
  <si>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</si>
  <si>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</si>
  <si>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</si>
  <si>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</si>
  <si>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</si>
  <si>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</si>
  <si>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</si>
  <si>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</si>
  <si>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</si>
  <si>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</si>
  <si>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</si>
  <si>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</si>
  <si>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</si>
  <si>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</si>
  <si>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</si>
  <si>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</si>
  <si>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</si>
  <si>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</si>
  <si>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</si>
  <si>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</si>
  <si>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</si>
  <si>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</si>
  <si>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</si>
  <si>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</si>
  <si>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</si>
  <si>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</si>
  <si>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</si>
  <si>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</si>
  <si>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</si>
  <si>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</si>
  <si>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</si>
  <si>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</si>
  <si>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</si>
  <si>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</si>
  <si>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</si>
  <si>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</si>
  <si>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</si>
  <si>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</si>
  <si>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</si>
  <si>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</si>
  <si>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</si>
  <si>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</si>
  <si>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</si>
  <si>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</si>
  <si>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</si>
  <si>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</si>
  <si>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</si>
  <si>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</si>
  <si>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</si>
  <si>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</si>
  <si>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</si>
  <si>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</si>
  <si>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</si>
  <si>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</si>
  <si>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</si>
  <si>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</si>
  <si>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</si>
  <si>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</si>
  <si>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</si>
  <si>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</si>
  <si>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</si>
  <si>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</si>
  <si>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</si>
  <si>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</si>
  <si>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</si>
  <si>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</si>
  <si>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</si>
  <si>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</si>
  <si>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</si>
  <si>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</si>
  <si>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</si>
  <si>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</si>
  <si>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</si>
  <si>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</si>
  <si>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</si>
  <si>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</si>
  <si>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</si>
  <si>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</si>
  <si>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</si>
  <si>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</si>
  <si>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</si>
  <si>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</si>
  <si>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</si>
  <si>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</si>
  <si>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</si>
  <si>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</si>
  <si>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</si>
  <si>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</si>
  <si>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</si>
  <si>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</si>
  <si>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</si>
  <si>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</si>
  <si>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</si>
  <si>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</si>
  <si>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</si>
  <si>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</si>
  <si>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</si>
  <si>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</si>
  <si>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</si>
  <si>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</si>
  <si>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</si>
  <si>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</si>
  <si>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</si>
  <si>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</si>
  <si>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</si>
  <si>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</si>
  <si>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</si>
  <si>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</si>
  <si>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</si>
  <si>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</si>
  <si>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</si>
  <si>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</si>
  <si>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</si>
  <si>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</si>
  <si>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</si>
  <si>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</si>
  <si>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</si>
  <si>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</si>
  <si>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</si>
  <si>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</si>
  <si>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</si>
  <si>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</si>
  <si>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</si>
  <si>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</si>
  <si>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</si>
  <si>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</si>
  <si>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</si>
  <si>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</si>
  <si>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</si>
  <si>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</si>
  <si>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</si>
  <si>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</si>
  <si>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</si>
  <si>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</si>
  <si>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</si>
  <si>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</si>
  <si>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</si>
  <si>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</si>
  <si>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</si>
  <si>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</si>
  <si>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</si>
  <si>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</si>
  <si>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</si>
  <si>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</si>
  <si>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</si>
  <si>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</si>
  <si>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</si>
  <si>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</si>
  <si>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</si>
  <si>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</si>
  <si>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</si>
  <si>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</si>
  <si>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</si>
  <si>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</si>
  <si>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</si>
  <si>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</si>
  <si>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</si>
  <si>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</si>
  <si>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</si>
  <si>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</si>
  <si>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</si>
  <si>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</si>
  <si>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</si>
  <si>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</si>
  <si>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</si>
  <si>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</si>
  <si>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</si>
  <si>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</si>
  <si>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1: Qual o total de vendas do plano anual (contendo todas assinaturas agregadas)</t>
  </si>
  <si>
    <t>Pergunta 2: Qual total de vendas do plano anual por renovação automatica e não renovação automatica.</t>
  </si>
  <si>
    <t>Rótulos de Linha</t>
  </si>
  <si>
    <t>Total Geral</t>
  </si>
  <si>
    <t>Soma de Total Value</t>
  </si>
  <si>
    <t>(Tudo)</t>
  </si>
  <si>
    <t xml:space="preserve"> XBOX GAME PASS SUBSCRIPTIONS SALES</t>
  </si>
  <si>
    <t>Soma de EA Play Season Pass
Price</t>
  </si>
  <si>
    <t>Soma de Minecraft Season Pass Price</t>
  </si>
  <si>
    <t>Total de Vendas de assinatura do EA Play</t>
  </si>
  <si>
    <t>Total de Vendas de assinatura do Minecraft </t>
  </si>
  <si>
    <t>TOTAL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</si>
</sst>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1"/>
      <color rgb="FF000000"/>
      <name val="Arial"/>
      <family val="2"/>
    </font>
    <font>
      <b/>
      <sz val="20"/>
      <color rgb="FF22C55E"/>
      <name val="Segoe UI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 applyAlignment="1"/>
    <xf numFmtId="0" fontId="0" fillId="0" borderId="0" xfId="0" applyNumberFormat="1"/>
    <xf numFmtId="44" fontId="0" fillId="0" borderId="0" xfId="2" applyFont="1"/>
    <xf numFmtId="0" fontId="5" fillId="0" borderId="0" xfId="0" applyFont="1"/>
    <xf numFmtId="0" fontId="0" fillId="0" borderId="2" xfId="0" applyBorder="1"/>
    <xf numFmtId="0" fontId="6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</font>
      <fill>
        <patternFill>
          <bgColor rgb="FF2AE6B1"/>
        </patternFill>
      </fill>
    </dxf>
    <dxf>
      <font>
        <b/>
        <i val="0"/>
      </font>
    </dxf>
    <dxf>
      <font>
        <color theme="1"/>
      </font>
      <fill>
        <patternFill>
          <fgColor rgb="FF2AE6B1"/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1" xr9:uid="{0DAE7339-3932-644A-B9B6-1B5B8756C5B4}">
      <tableStyleElement type="wholeTable" dxfId="2"/>
      <tableStyleElement type="headerRow" dxfId="1"/>
      <tableStyleElement type="firstColumnStripe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6 2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1-6044-AAAC-4AF0FCEFC9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1272719"/>
        <c:axId val="240032911"/>
      </c:barChart>
      <c:catAx>
        <c:axId val="30127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0032911"/>
        <c:crosses val="autoZero"/>
        <c:auto val="1"/>
        <c:lblAlgn val="ctr"/>
        <c:lblOffset val="100"/>
        <c:noMultiLvlLbl val="0"/>
      </c:catAx>
      <c:valAx>
        <c:axId val="2400329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012727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63096312867528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1.63096312867528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20-9046-83F5-DD1A1E28E3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0-9046-83F5-DD1A1E28E3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1272719"/>
        <c:axId val="240032911"/>
      </c:barChart>
      <c:catAx>
        <c:axId val="30127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0032911"/>
        <c:crosses val="autoZero"/>
        <c:auto val="1"/>
        <c:lblAlgn val="ctr"/>
        <c:lblOffset val="100"/>
        <c:noMultiLvlLbl val="0"/>
      </c:catAx>
      <c:valAx>
        <c:axId val="2400329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012727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20775" y="5435599"/>
          <a:ext cx="17399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393700</xdr:colOff>
      <xdr:row>13</xdr:row>
      <xdr:rowOff>50800</xdr:rowOff>
    </xdr:from>
    <xdr:to>
      <xdr:col>8</xdr:col>
      <xdr:colOff>977900</xdr:colOff>
      <xdr:row>27</xdr:row>
      <xdr:rowOff>127000</xdr:rowOff>
    </xdr:to>
    <xdr:graphicFrame macro="">
      <xdr:nvGraphicFramePr>
        <xdr:cNvPr id="2" name="tbl_faturamento_anual">
          <a:extLst>
            <a:ext uri="{FF2B5EF4-FFF2-40B4-BE49-F238E27FC236}">
              <a16:creationId xmlns:a16="http://schemas.microsoft.com/office/drawing/2014/main" id="{00F61C80-07C2-676E-CBFD-79E630918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393700</xdr:colOff>
      <xdr:row>12</xdr:row>
      <xdr:rowOff>76200</xdr:rowOff>
    </xdr:from>
    <xdr:to>
      <xdr:col>4</xdr:col>
      <xdr:colOff>114300</xdr:colOff>
      <xdr:row>25</xdr:row>
      <xdr:rowOff>28569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1689CB79-D35A-1E9B-C6A9-F087E22399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7400" y="2362200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254426</xdr:colOff>
      <xdr:row>1</xdr:row>
      <xdr:rowOff>15875</xdr:rowOff>
    </xdr:from>
    <xdr:to>
      <xdr:col>2</xdr:col>
      <xdr:colOff>531023</xdr:colOff>
      <xdr:row>2</xdr:row>
      <xdr:rowOff>15875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1AE250-AAD1-984A-9F83-4D53A6E23A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838" b="-5845"/>
        <a:stretch>
          <a:fillRect/>
        </a:stretch>
      </xdr:blipFill>
      <xdr:spPr>
        <a:xfrm>
          <a:off x="2142264" y="210380"/>
          <a:ext cx="539750" cy="491981"/>
        </a:xfrm>
        <a:prstGeom prst="rect">
          <a:avLst/>
        </a:prstGeom>
      </xdr:spPr>
    </xdr:pic>
    <xdr:clientData/>
  </xdr:twoCellAnchor>
  <xdr:twoCellAnchor editAs="absolute">
    <xdr:from>
      <xdr:col>0</xdr:col>
      <xdr:colOff>148739</xdr:colOff>
      <xdr:row>6</xdr:row>
      <xdr:rowOff>111125</xdr:rowOff>
    </xdr:from>
    <xdr:to>
      <xdr:col>0</xdr:col>
      <xdr:colOff>1761982</xdr:colOff>
      <xdr:row>18</xdr:row>
      <xdr:rowOff>35410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2417722A-CDD1-D140-9435-D653E45C5B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739" y="1232386"/>
              <a:ext cx="1613243" cy="2487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6</xdr:col>
      <xdr:colOff>118916</xdr:colOff>
      <xdr:row>5</xdr:row>
      <xdr:rowOff>3408</xdr:rowOff>
    </xdr:from>
    <xdr:to>
      <xdr:col>12</xdr:col>
      <xdr:colOff>447858</xdr:colOff>
      <xdr:row>14</xdr:row>
      <xdr:rowOff>54632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D3BBD5F8-1461-D9B5-B2C1-D6CB2613145C}"/>
            </a:ext>
          </a:extLst>
        </xdr:cNvPr>
        <xdr:cNvGrpSpPr/>
      </xdr:nvGrpSpPr>
      <xdr:grpSpPr>
        <a:xfrm>
          <a:off x="4970087" y="1010255"/>
          <a:ext cx="4196149" cy="1950503"/>
          <a:chOff x="2002014" y="1298740"/>
          <a:chExt cx="5123509" cy="1947404"/>
        </a:xfrm>
      </xdr:grpSpPr>
      <xdr:sp macro="" textlink="">
        <xdr:nvSpPr>
          <xdr:cNvPr id="7" name="Retângulo Arredondado 6">
            <a:extLst>
              <a:ext uri="{FF2B5EF4-FFF2-40B4-BE49-F238E27FC236}">
                <a16:creationId xmlns:a16="http://schemas.microsoft.com/office/drawing/2014/main" id="{F65959B8-554B-534F-9AEC-ADB1E6032A03}"/>
              </a:ext>
            </a:extLst>
          </xdr:cNvPr>
          <xdr:cNvSpPr/>
        </xdr:nvSpPr>
        <xdr:spPr>
          <a:xfrm>
            <a:off x="2010122" y="1300695"/>
            <a:ext cx="5115401" cy="1945449"/>
          </a:xfrm>
          <a:prstGeom prst="roundRect">
            <a:avLst>
              <a:gd name="adj" fmla="val 71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 com Canto Arredondado do Mesmo Lado 7">
            <a:extLst>
              <a:ext uri="{FF2B5EF4-FFF2-40B4-BE49-F238E27FC236}">
                <a16:creationId xmlns:a16="http://schemas.microsoft.com/office/drawing/2014/main" id="{5DEB724D-B2BA-B7D9-1587-E11B6A302249}"/>
              </a:ext>
            </a:extLst>
          </xdr:cNvPr>
          <xdr:cNvSpPr/>
        </xdr:nvSpPr>
        <xdr:spPr>
          <a:xfrm>
            <a:off x="2002014" y="1298740"/>
            <a:ext cx="5123509" cy="496312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  <xdr:sp macro="" textlink="C̳álculos!E38">
        <xdr:nvSpPr>
          <xdr:cNvPr id="9" name="Retângulo Arredondado 8">
            <a:extLst>
              <a:ext uri="{FF2B5EF4-FFF2-40B4-BE49-F238E27FC236}">
                <a16:creationId xmlns:a16="http://schemas.microsoft.com/office/drawing/2014/main" id="{08F827ED-8D68-533E-1AF5-332F86C6ADC4}"/>
              </a:ext>
            </a:extLst>
          </xdr:cNvPr>
          <xdr:cNvSpPr/>
        </xdr:nvSpPr>
        <xdr:spPr>
          <a:xfrm>
            <a:off x="3995208" y="1885325"/>
            <a:ext cx="2639360" cy="118180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193F164-367E-424C-9C03-0FE5C101F428}" type="TxLink">
              <a:rPr lang="en-US" sz="20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R$ 2.940,00 </a:t>
            </a:fld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B455BFFF-A9F9-F542-AE22-DAF6AA4382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48958" y="1866628"/>
            <a:ext cx="1346200" cy="1219200"/>
          </a:xfrm>
          <a:prstGeom prst="rect">
            <a:avLst/>
          </a:prstGeom>
        </xdr:spPr>
      </xdr:pic>
    </xdr:grpSp>
    <xdr:clientData/>
  </xdr:twoCellAnchor>
  <xdr:twoCellAnchor editAs="absolute">
    <xdr:from>
      <xdr:col>13</xdr:col>
      <xdr:colOff>477204</xdr:colOff>
      <xdr:row>5</xdr:row>
      <xdr:rowOff>3408</xdr:rowOff>
    </xdr:from>
    <xdr:to>
      <xdr:col>19</xdr:col>
      <xdr:colOff>1178468</xdr:colOff>
      <xdr:row>14</xdr:row>
      <xdr:rowOff>54632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74B67CA1-3FE3-690D-CD4B-CD0BE28911B6}"/>
            </a:ext>
          </a:extLst>
        </xdr:cNvPr>
        <xdr:cNvGrpSpPr/>
      </xdr:nvGrpSpPr>
      <xdr:grpSpPr>
        <a:xfrm>
          <a:off x="9870627" y="1010255"/>
          <a:ext cx="4751535" cy="1950503"/>
          <a:chOff x="7364236" y="1289921"/>
          <a:chExt cx="5118217" cy="1947404"/>
        </a:xfrm>
      </xdr:grpSpPr>
      <xdr:sp macro="" textlink="">
        <xdr:nvSpPr>
          <xdr:cNvPr id="10" name="Retângulo Arredondado 9">
            <a:extLst>
              <a:ext uri="{FF2B5EF4-FFF2-40B4-BE49-F238E27FC236}">
                <a16:creationId xmlns:a16="http://schemas.microsoft.com/office/drawing/2014/main" id="{205B1E45-A35E-9A40-B925-F6E31A5A5FAB}"/>
              </a:ext>
            </a:extLst>
          </xdr:cNvPr>
          <xdr:cNvSpPr/>
        </xdr:nvSpPr>
        <xdr:spPr>
          <a:xfrm>
            <a:off x="7367052" y="1291876"/>
            <a:ext cx="5115401" cy="1945449"/>
          </a:xfrm>
          <a:prstGeom prst="roundRect">
            <a:avLst>
              <a:gd name="adj" fmla="val 71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 com Canto Arredondado do Mesmo Lado 10">
            <a:extLst>
              <a:ext uri="{FF2B5EF4-FFF2-40B4-BE49-F238E27FC236}">
                <a16:creationId xmlns:a16="http://schemas.microsoft.com/office/drawing/2014/main" id="{29CE427A-19E0-8743-A8AA-3BA225600691}"/>
              </a:ext>
            </a:extLst>
          </xdr:cNvPr>
          <xdr:cNvSpPr/>
        </xdr:nvSpPr>
        <xdr:spPr>
          <a:xfrm>
            <a:off x="7364236" y="1289921"/>
            <a:ext cx="5118217" cy="496312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  <xdr:sp macro="" textlink="C̳álculos!E48">
        <xdr:nvSpPr>
          <xdr:cNvPr id="12" name="Retângulo Arredondado 11">
            <a:extLst>
              <a:ext uri="{FF2B5EF4-FFF2-40B4-BE49-F238E27FC236}">
                <a16:creationId xmlns:a16="http://schemas.microsoft.com/office/drawing/2014/main" id="{3F659189-5852-FB4A-B8AC-F57E1F22271B}"/>
              </a:ext>
            </a:extLst>
          </xdr:cNvPr>
          <xdr:cNvSpPr/>
        </xdr:nvSpPr>
        <xdr:spPr>
          <a:xfrm>
            <a:off x="9410347" y="2172881"/>
            <a:ext cx="3039452" cy="61261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0729927-7D58-EA44-860B-BBD401BCF216}" type="TxLink">
              <a:rPr lang="en-US" sz="20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R$ 3.880,00 </a:t>
            </a:fld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B53D2C5F-008B-2C4E-A274-1E62DFCB1236}"/>
              </a:ext>
            </a:extLst>
          </xdr:cNvPr>
          <xdr:cNvGrpSpPr/>
        </xdr:nvGrpSpPr>
        <xdr:grpSpPr>
          <a:xfrm>
            <a:off x="7778749" y="2141090"/>
            <a:ext cx="1563587" cy="676194"/>
            <a:chOff x="3495675" y="5400674"/>
            <a:chExt cx="1549476" cy="752476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BF954E4D-7F01-FC4A-E331-FE2F970BE7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</xdr:pic>
        <xdr:pic>
          <xdr:nvPicPr>
            <xdr:cNvPr id="17" name="Gráfico 16">
              <a:extLst>
                <a:ext uri="{FF2B5EF4-FFF2-40B4-BE49-F238E27FC236}">
                  <a16:creationId xmlns:a16="http://schemas.microsoft.com/office/drawing/2014/main" id="{367078C5-FF70-6DE3-F4BD-5D2E027EC4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112779</xdr:colOff>
      <xdr:row>18</xdr:row>
      <xdr:rowOff>117285</xdr:rowOff>
    </xdr:from>
    <xdr:to>
      <xdr:col>19</xdr:col>
      <xdr:colOff>1178468</xdr:colOff>
      <xdr:row>34</xdr:row>
      <xdr:rowOff>185201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6C43594-ED9F-B654-7C21-B98DADB411E1}"/>
            </a:ext>
          </a:extLst>
        </xdr:cNvPr>
        <xdr:cNvGrpSpPr/>
      </xdr:nvGrpSpPr>
      <xdr:grpSpPr>
        <a:xfrm>
          <a:off x="2000617" y="3801429"/>
          <a:ext cx="12621545" cy="3179988"/>
          <a:chOff x="2000617" y="3801429"/>
          <a:chExt cx="10560113" cy="317998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32A2041A-15C1-D50A-0846-006F4E9BCFF4}"/>
              </a:ext>
            </a:extLst>
          </xdr:cNvPr>
          <xdr:cNvGrpSpPr/>
        </xdr:nvGrpSpPr>
        <xdr:grpSpPr>
          <a:xfrm>
            <a:off x="2001779" y="3807023"/>
            <a:ext cx="10550436" cy="3174394"/>
            <a:chOff x="2051867" y="856077"/>
            <a:chExt cx="5163615" cy="3066814"/>
          </a:xfrm>
        </xdr:grpSpPr>
        <xdr:sp macro="" textlink="">
          <xdr:nvSpPr>
            <xdr:cNvPr id="5" name="Retângulo Arredondado 4">
              <a:extLst>
                <a:ext uri="{FF2B5EF4-FFF2-40B4-BE49-F238E27FC236}">
                  <a16:creationId xmlns:a16="http://schemas.microsoft.com/office/drawing/2014/main" id="{C3A23E26-C00A-D160-54DB-466BBA7BE28A}"/>
                </a:ext>
              </a:extLst>
            </xdr:cNvPr>
            <xdr:cNvSpPr/>
          </xdr:nvSpPr>
          <xdr:spPr>
            <a:xfrm>
              <a:off x="2051867" y="856077"/>
              <a:ext cx="5163615" cy="3066814"/>
            </a:xfrm>
            <a:prstGeom prst="roundRect">
              <a:avLst>
                <a:gd name="adj" fmla="val 715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tbl_faturamento_anual">
              <a:extLst>
                <a:ext uri="{FF2B5EF4-FFF2-40B4-BE49-F238E27FC236}">
                  <a16:creationId xmlns:a16="http://schemas.microsoft.com/office/drawing/2014/main" id="{3F0C5DA4-2B1D-914E-B9CE-B16053FECD88}"/>
                </a:ext>
              </a:extLst>
            </xdr:cNvPr>
            <xdr:cNvGraphicFramePr>
              <a:graphicFrameLocks/>
            </xdr:cNvGraphicFramePr>
          </xdr:nvGraphicFramePr>
          <xdr:xfrm>
            <a:off x="2309871" y="1485743"/>
            <a:ext cx="4765152" cy="22568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19" name="Retângulo com Canto Arredondado do Mesmo Lado 18">
            <a:extLst>
              <a:ext uri="{FF2B5EF4-FFF2-40B4-BE49-F238E27FC236}">
                <a16:creationId xmlns:a16="http://schemas.microsoft.com/office/drawing/2014/main" id="{C33E1AA4-FDE0-8E4C-B97F-11FFDBE4E49F}"/>
              </a:ext>
            </a:extLst>
          </xdr:cNvPr>
          <xdr:cNvSpPr/>
        </xdr:nvSpPr>
        <xdr:spPr>
          <a:xfrm>
            <a:off x="2000617" y="3801429"/>
            <a:ext cx="10560113" cy="503463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80087</xdr:colOff>
      <xdr:row>30</xdr:row>
      <xdr:rowOff>80091</xdr:rowOff>
    </xdr:from>
    <xdr:to>
      <xdr:col>0</xdr:col>
      <xdr:colOff>1819186</xdr:colOff>
      <xdr:row>34</xdr:row>
      <xdr:rowOff>137297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BCE026AB-C1F1-194F-A4DF-7D80A162BE7E}"/>
            </a:ext>
          </a:extLst>
        </xdr:cNvPr>
        <xdr:cNvSpPr/>
      </xdr:nvSpPr>
      <xdr:spPr>
        <a:xfrm>
          <a:off x="80087" y="6098289"/>
          <a:ext cx="1739099" cy="835224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</a:t>
          </a:r>
        </a:p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01/01/2024 - 31/12/2024</a:t>
          </a:r>
        </a:p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Update date: </a:t>
          </a:r>
        </a:p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10/01/2026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-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 09:00:00</a:t>
          </a:r>
        </a:p>
      </xdr:txBody>
    </xdr:sp>
    <xdr:clientData/>
  </xdr:twoCellAnchor>
  <xdr:twoCellAnchor editAs="absolute">
    <xdr:from>
      <xdr:col>1</xdr:col>
      <xdr:colOff>112779</xdr:colOff>
      <xdr:row>5</xdr:row>
      <xdr:rowOff>3408</xdr:rowOff>
    </xdr:from>
    <xdr:to>
      <xdr:col>5</xdr:col>
      <xdr:colOff>89571</xdr:colOff>
      <xdr:row>14</xdr:row>
      <xdr:rowOff>54632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C6B8EF00-393F-C44D-BBB8-E96D9EC57E7B}"/>
            </a:ext>
          </a:extLst>
        </xdr:cNvPr>
        <xdr:cNvGrpSpPr/>
      </xdr:nvGrpSpPr>
      <xdr:grpSpPr>
        <a:xfrm>
          <a:off x="2000617" y="1010255"/>
          <a:ext cx="2265080" cy="1950503"/>
          <a:chOff x="7364236" y="1289921"/>
          <a:chExt cx="5118217" cy="1947404"/>
        </a:xfrm>
      </xdr:grpSpPr>
      <xdr:sp macro="" textlink="">
        <xdr:nvSpPr>
          <xdr:cNvPr id="23" name="Retângulo Arredondado 22">
            <a:extLst>
              <a:ext uri="{FF2B5EF4-FFF2-40B4-BE49-F238E27FC236}">
                <a16:creationId xmlns:a16="http://schemas.microsoft.com/office/drawing/2014/main" id="{AB920EF5-0F87-2B13-50BF-778632A1F5AA}"/>
              </a:ext>
            </a:extLst>
          </xdr:cNvPr>
          <xdr:cNvSpPr/>
        </xdr:nvSpPr>
        <xdr:spPr>
          <a:xfrm>
            <a:off x="7367052" y="1291876"/>
            <a:ext cx="5115401" cy="1945449"/>
          </a:xfrm>
          <a:prstGeom prst="roundRect">
            <a:avLst>
              <a:gd name="adj" fmla="val 71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 com Canto Arredondado do Mesmo Lado 23">
            <a:extLst>
              <a:ext uri="{FF2B5EF4-FFF2-40B4-BE49-F238E27FC236}">
                <a16:creationId xmlns:a16="http://schemas.microsoft.com/office/drawing/2014/main" id="{D7DFC70B-20A6-2CB2-5A0A-534F23F46B3B}"/>
              </a:ext>
            </a:extLst>
          </xdr:cNvPr>
          <xdr:cNvSpPr/>
        </xdr:nvSpPr>
        <xdr:spPr>
          <a:xfrm>
            <a:off x="7364236" y="1289921"/>
            <a:ext cx="5118217" cy="496312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</a:p>
        </xdr:txBody>
      </xdr:sp>
      <xdr:sp macro="" textlink="C̳álculos!B55">
        <xdr:nvSpPr>
          <xdr:cNvPr id="25" name="Retângulo Arredondado 24">
            <a:extLst>
              <a:ext uri="{FF2B5EF4-FFF2-40B4-BE49-F238E27FC236}">
                <a16:creationId xmlns:a16="http://schemas.microsoft.com/office/drawing/2014/main" id="{8AE9970A-53F9-8CBC-7767-04AE7C80D031}"/>
              </a:ext>
            </a:extLst>
          </xdr:cNvPr>
          <xdr:cNvSpPr/>
        </xdr:nvSpPr>
        <xdr:spPr>
          <a:xfrm>
            <a:off x="7414938" y="2172881"/>
            <a:ext cx="5034862" cy="61261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10BD75D-58B8-E747-AC89-C539C92036DA}" type="TxLink">
              <a:rPr lang="en-US" sz="20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295</a:t>
            </a:fld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284151</xdr:colOff>
      <xdr:row>0</xdr:row>
      <xdr:rowOff>91531</xdr:rowOff>
    </xdr:from>
    <xdr:to>
      <xdr:col>0</xdr:col>
      <xdr:colOff>1005330</xdr:colOff>
      <xdr:row>3</xdr:row>
      <xdr:rowOff>1480</xdr:rowOff>
    </xdr:to>
    <xdr:sp macro="" textlink="">
      <xdr:nvSpPr>
        <xdr:cNvPr id="29" name="Elipse 30">
          <a:extLst>
            <a:ext uri="{FF2B5EF4-FFF2-40B4-BE49-F238E27FC236}">
              <a16:creationId xmlns:a16="http://schemas.microsoft.com/office/drawing/2014/main" id="{004974BC-9B85-5840-9571-5B76287DAB3E}"/>
            </a:ext>
          </a:extLst>
        </xdr:cNvPr>
        <xdr:cNvSpPr/>
      </xdr:nvSpPr>
      <xdr:spPr>
        <a:xfrm>
          <a:off x="284151" y="91531"/>
          <a:ext cx="721179" cy="69940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4</xdr:row>
      <xdr:rowOff>1249</xdr:rowOff>
    </xdr:from>
    <xdr:to>
      <xdr:col>0</xdr:col>
      <xdr:colOff>1578429</xdr:colOff>
      <xdr:row>5</xdr:row>
      <xdr:rowOff>98443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EFC821CE-700F-2242-9B2B-8860E5F74F05}"/>
            </a:ext>
          </a:extLst>
        </xdr:cNvPr>
        <xdr:cNvSpPr/>
      </xdr:nvSpPr>
      <xdr:spPr>
        <a:xfrm>
          <a:off x="0" y="882240"/>
          <a:ext cx="1578429" cy="22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bem vinda, Luana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dre Cunha" refreshedDate="46033.663503703705" createdVersion="8" refreshedVersion="8" minRefreshableVersion="3" recordCount="295" xr:uid="{5B373D22-0654-0A41-AC5B-F84866B77BC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721495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9E6FF-0EAD-4B41-AE61-B300B22B84E6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46:C50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5A2F9-8B2A-FD42-A5AB-72A4294BE2A4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4:C38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_x000a_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81B23-538A-0747-A3EF-6F73F7796792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5:C18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0382ECE-34F9-F849-B25F-933EA5ED6439}" sourceName="Subscription Type">
  <pivotTables>
    <pivotTable tabId="3" name="Tabela dinâmica1"/>
    <pivotTable tabId="3" name="Tabela dinâmica2"/>
    <pivotTable tabId="3" name="Tabela dinâmica3"/>
  </pivotTables>
  <data>
    <tabular pivotCacheId="147214958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B5BEF67-3A81-8D40-A542-3F53D945AA9B}" cache="SegmentaçãodeDados_Subscription_Type" caption="Subscription Type" style="SlicerStyleLight6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CA3C2BFD-95D5-4D49-B423-B1B9358BDDC4}" cache="SegmentaçãodeDados_Subscription_Type" caption="Subscription Type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6" sqref="B56"/>
    </sheetView>
  </sheetViews>
  <sheetFormatPr baseColWidth="10" defaultColWidth="8.83203125" defaultRowHeight="15" x14ac:dyDescent="0.2"/>
  <cols>
    <col min="9" max="9" width="3.5" customWidth="1"/>
  </cols>
  <sheetData>
    <row r="3" spans="2:16" ht="21" thickBot="1" x14ac:dyDescent="0.3">
      <c r="B3" s="1" t="s">
        <v>0</v>
      </c>
      <c r="C3" s="1"/>
      <c r="D3" s="1"/>
      <c r="E3" s="1"/>
      <c r="F3" s="1"/>
      <c r="G3" s="1"/>
      <c r="H3" s="1"/>
    </row>
    <row r="4" spans="2:16" ht="16" thickTop="1" x14ac:dyDescent="0.2"/>
    <row r="5" spans="2:16" x14ac:dyDescent="0.2">
      <c r="B5" s="3" t="s">
        <v>2</v>
      </c>
      <c r="C5" t="s">
        <v>8</v>
      </c>
      <c r="E5" s="7" t="s">
        <v>6</v>
      </c>
      <c r="F5" t="s">
        <v>7</v>
      </c>
    </row>
    <row r="6" spans="2:16" x14ac:dyDescent="0.2">
      <c r="B6" s="4" t="s">
        <v>3</v>
      </c>
      <c r="C6" t="s">
        <v>8</v>
      </c>
    </row>
    <row r="7" spans="2:16" x14ac:dyDescent="0.2">
      <c r="B7" s="5" t="s">
        <v>4</v>
      </c>
      <c r="C7" t="s">
        <v>9</v>
      </c>
    </row>
    <row r="8" spans="2:16" x14ac:dyDescent="0.2">
      <c r="B8" s="6" t="s">
        <v>5</v>
      </c>
      <c r="C8" t="s">
        <v>9</v>
      </c>
    </row>
    <row r="12" spans="2:16" ht="21" thickBot="1" x14ac:dyDescent="0.3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6" thickTop="1" x14ac:dyDescent="0.2">
      <c r="B13" s="2"/>
      <c r="C13" s="2"/>
      <c r="D13" s="2"/>
      <c r="E13" s="2"/>
      <c r="F13" s="2"/>
      <c r="G13" s="2"/>
      <c r="H13" s="2"/>
    </row>
    <row r="14" spans="2:16" x14ac:dyDescent="0.2">
      <c r="B14" s="2"/>
      <c r="C14" s="2"/>
      <c r="D14" s="2"/>
      <c r="E14" s="2"/>
      <c r="F14" s="2"/>
      <c r="G14" s="2"/>
      <c r="H14" s="2"/>
    </row>
    <row r="15" spans="2:16" x14ac:dyDescent="0.2">
      <c r="B15" s="2"/>
      <c r="C15" s="2"/>
      <c r="D15" s="2"/>
      <c r="E15" s="2"/>
      <c r="F15" s="2"/>
      <c r="G15" s="2"/>
      <c r="H15" s="2"/>
    </row>
    <row r="16" spans="2:16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2"/>
      <c r="C20" s="2"/>
      <c r="D20" s="2"/>
      <c r="E20" s="2"/>
      <c r="F20" s="2"/>
      <c r="G20" s="2"/>
      <c r="H20" s="2"/>
    </row>
    <row r="21" spans="2:8" x14ac:dyDescent="0.2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144" zoomScale="90" zoomScaleNormal="90" workbookViewId="0">
      <selection activeCell="A2" sqref="A2:A296"/>
    </sheetView>
  </sheetViews>
  <sheetFormatPr baseColWidth="10" defaultColWidth="8.83203125" defaultRowHeight="15" x14ac:dyDescent="0.2"/>
  <cols>
    <col min="1" max="1" width="17.83203125" bestFit="1" customWidth="1"/>
    <col min="2" max="2" width="18.83203125" bestFit="1" customWidth="1"/>
    <col min="3" max="3" width="9.5" bestFit="1" customWidth="1"/>
    <col min="4" max="4" width="14.5" bestFit="1" customWidth="1"/>
    <col min="5" max="5" width="18" bestFit="1" customWidth="1"/>
    <col min="6" max="6" width="14.6640625" bestFit="1" customWidth="1"/>
    <col min="7" max="7" width="22" bestFit="1" customWidth="1"/>
    <col min="8" max="8" width="20.5" bestFit="1" customWidth="1"/>
    <col min="9" max="9" width="20.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" bestFit="1" customWidth="1"/>
  </cols>
  <sheetData>
    <row r="1" spans="1:13" ht="32" x14ac:dyDescent="0.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" x14ac:dyDescent="0.2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" x14ac:dyDescent="0.2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" x14ac:dyDescent="0.2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" x14ac:dyDescent="0.2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" x14ac:dyDescent="0.2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" x14ac:dyDescent="0.2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" x14ac:dyDescent="0.2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" x14ac:dyDescent="0.2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" x14ac:dyDescent="0.2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" x14ac:dyDescent="0.2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" x14ac:dyDescent="0.2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" x14ac:dyDescent="0.2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" x14ac:dyDescent="0.2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" x14ac:dyDescent="0.2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" x14ac:dyDescent="0.2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" x14ac:dyDescent="0.2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" x14ac:dyDescent="0.2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" x14ac:dyDescent="0.2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" x14ac:dyDescent="0.2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" x14ac:dyDescent="0.2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" x14ac:dyDescent="0.2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" x14ac:dyDescent="0.2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" x14ac:dyDescent="0.2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" x14ac:dyDescent="0.2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" x14ac:dyDescent="0.2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" x14ac:dyDescent="0.2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" x14ac:dyDescent="0.2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" x14ac:dyDescent="0.2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" x14ac:dyDescent="0.2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" x14ac:dyDescent="0.2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" x14ac:dyDescent="0.2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" x14ac:dyDescent="0.2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" x14ac:dyDescent="0.2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" x14ac:dyDescent="0.2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" x14ac:dyDescent="0.2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" x14ac:dyDescent="0.2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" x14ac:dyDescent="0.2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" x14ac:dyDescent="0.2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" x14ac:dyDescent="0.2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" x14ac:dyDescent="0.2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" x14ac:dyDescent="0.2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" x14ac:dyDescent="0.2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" x14ac:dyDescent="0.2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" x14ac:dyDescent="0.2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" x14ac:dyDescent="0.2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" x14ac:dyDescent="0.2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" x14ac:dyDescent="0.2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" x14ac:dyDescent="0.2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" x14ac:dyDescent="0.2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" x14ac:dyDescent="0.2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" x14ac:dyDescent="0.2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" x14ac:dyDescent="0.2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" x14ac:dyDescent="0.2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" x14ac:dyDescent="0.2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" x14ac:dyDescent="0.2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" x14ac:dyDescent="0.2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" x14ac:dyDescent="0.2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" x14ac:dyDescent="0.2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" x14ac:dyDescent="0.2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" x14ac:dyDescent="0.2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" x14ac:dyDescent="0.2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" x14ac:dyDescent="0.2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" x14ac:dyDescent="0.2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" x14ac:dyDescent="0.2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" x14ac:dyDescent="0.2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" x14ac:dyDescent="0.2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" x14ac:dyDescent="0.2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" x14ac:dyDescent="0.2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" x14ac:dyDescent="0.2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" x14ac:dyDescent="0.2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" x14ac:dyDescent="0.2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" x14ac:dyDescent="0.2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" x14ac:dyDescent="0.2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" x14ac:dyDescent="0.2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" x14ac:dyDescent="0.2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" x14ac:dyDescent="0.2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" x14ac:dyDescent="0.2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" x14ac:dyDescent="0.2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" x14ac:dyDescent="0.2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" x14ac:dyDescent="0.2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" x14ac:dyDescent="0.2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" x14ac:dyDescent="0.2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" x14ac:dyDescent="0.2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" x14ac:dyDescent="0.2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" x14ac:dyDescent="0.2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" x14ac:dyDescent="0.2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" x14ac:dyDescent="0.2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" x14ac:dyDescent="0.2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" x14ac:dyDescent="0.2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" x14ac:dyDescent="0.2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" x14ac:dyDescent="0.2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" x14ac:dyDescent="0.2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" x14ac:dyDescent="0.2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" x14ac:dyDescent="0.2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" x14ac:dyDescent="0.2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" x14ac:dyDescent="0.2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" x14ac:dyDescent="0.2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" x14ac:dyDescent="0.2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" x14ac:dyDescent="0.2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" x14ac:dyDescent="0.2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" x14ac:dyDescent="0.2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" x14ac:dyDescent="0.2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" x14ac:dyDescent="0.2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" x14ac:dyDescent="0.2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" x14ac:dyDescent="0.2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" x14ac:dyDescent="0.2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" x14ac:dyDescent="0.2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" x14ac:dyDescent="0.2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" x14ac:dyDescent="0.2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" x14ac:dyDescent="0.2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" x14ac:dyDescent="0.2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" x14ac:dyDescent="0.2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" x14ac:dyDescent="0.2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" x14ac:dyDescent="0.2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" x14ac:dyDescent="0.2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" x14ac:dyDescent="0.2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" x14ac:dyDescent="0.2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" x14ac:dyDescent="0.2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" x14ac:dyDescent="0.2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" x14ac:dyDescent="0.2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" x14ac:dyDescent="0.2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" x14ac:dyDescent="0.2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" x14ac:dyDescent="0.2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" x14ac:dyDescent="0.2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" x14ac:dyDescent="0.2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" x14ac:dyDescent="0.2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" x14ac:dyDescent="0.2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" x14ac:dyDescent="0.2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" x14ac:dyDescent="0.2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" x14ac:dyDescent="0.2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" x14ac:dyDescent="0.2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" x14ac:dyDescent="0.2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" x14ac:dyDescent="0.2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" x14ac:dyDescent="0.2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" x14ac:dyDescent="0.2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" x14ac:dyDescent="0.2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" x14ac:dyDescent="0.2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" x14ac:dyDescent="0.2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" x14ac:dyDescent="0.2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" x14ac:dyDescent="0.2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" x14ac:dyDescent="0.2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" x14ac:dyDescent="0.2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" x14ac:dyDescent="0.2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" x14ac:dyDescent="0.2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" x14ac:dyDescent="0.2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" x14ac:dyDescent="0.2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" x14ac:dyDescent="0.2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" x14ac:dyDescent="0.2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" x14ac:dyDescent="0.2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" x14ac:dyDescent="0.2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" x14ac:dyDescent="0.2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" x14ac:dyDescent="0.2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" x14ac:dyDescent="0.2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" x14ac:dyDescent="0.2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" x14ac:dyDescent="0.2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" x14ac:dyDescent="0.2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" x14ac:dyDescent="0.2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" x14ac:dyDescent="0.2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" x14ac:dyDescent="0.2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" x14ac:dyDescent="0.2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" x14ac:dyDescent="0.2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" x14ac:dyDescent="0.2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" x14ac:dyDescent="0.2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" x14ac:dyDescent="0.2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" x14ac:dyDescent="0.2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" x14ac:dyDescent="0.2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" x14ac:dyDescent="0.2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" x14ac:dyDescent="0.2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" x14ac:dyDescent="0.2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" x14ac:dyDescent="0.2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" x14ac:dyDescent="0.2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" x14ac:dyDescent="0.2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" x14ac:dyDescent="0.2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" x14ac:dyDescent="0.2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" x14ac:dyDescent="0.2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" x14ac:dyDescent="0.2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" x14ac:dyDescent="0.2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" x14ac:dyDescent="0.2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" x14ac:dyDescent="0.2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" x14ac:dyDescent="0.2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" x14ac:dyDescent="0.2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" x14ac:dyDescent="0.2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" x14ac:dyDescent="0.2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" x14ac:dyDescent="0.2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" x14ac:dyDescent="0.2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" x14ac:dyDescent="0.2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" x14ac:dyDescent="0.2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" x14ac:dyDescent="0.2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" x14ac:dyDescent="0.2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" x14ac:dyDescent="0.2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" x14ac:dyDescent="0.2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" x14ac:dyDescent="0.2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" x14ac:dyDescent="0.2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" x14ac:dyDescent="0.2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" x14ac:dyDescent="0.2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" x14ac:dyDescent="0.2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" x14ac:dyDescent="0.2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" x14ac:dyDescent="0.2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" x14ac:dyDescent="0.2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" x14ac:dyDescent="0.2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" x14ac:dyDescent="0.2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" x14ac:dyDescent="0.2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" x14ac:dyDescent="0.2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" x14ac:dyDescent="0.2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" x14ac:dyDescent="0.2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" x14ac:dyDescent="0.2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" x14ac:dyDescent="0.2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" x14ac:dyDescent="0.2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" x14ac:dyDescent="0.2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" x14ac:dyDescent="0.2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" x14ac:dyDescent="0.2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" x14ac:dyDescent="0.2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" x14ac:dyDescent="0.2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" x14ac:dyDescent="0.2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" x14ac:dyDescent="0.2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" x14ac:dyDescent="0.2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" x14ac:dyDescent="0.2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" x14ac:dyDescent="0.2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" x14ac:dyDescent="0.2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" x14ac:dyDescent="0.2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" x14ac:dyDescent="0.2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" x14ac:dyDescent="0.2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" x14ac:dyDescent="0.2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" x14ac:dyDescent="0.2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" x14ac:dyDescent="0.2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" x14ac:dyDescent="0.2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" x14ac:dyDescent="0.2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" x14ac:dyDescent="0.2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" x14ac:dyDescent="0.2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" x14ac:dyDescent="0.2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" x14ac:dyDescent="0.2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" x14ac:dyDescent="0.2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" x14ac:dyDescent="0.2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" x14ac:dyDescent="0.2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" x14ac:dyDescent="0.2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" x14ac:dyDescent="0.2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" x14ac:dyDescent="0.2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" x14ac:dyDescent="0.2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" x14ac:dyDescent="0.2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" x14ac:dyDescent="0.2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" x14ac:dyDescent="0.2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" x14ac:dyDescent="0.2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" x14ac:dyDescent="0.2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" x14ac:dyDescent="0.2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" x14ac:dyDescent="0.2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" x14ac:dyDescent="0.2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" x14ac:dyDescent="0.2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" x14ac:dyDescent="0.2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" x14ac:dyDescent="0.2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" x14ac:dyDescent="0.2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" x14ac:dyDescent="0.2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" x14ac:dyDescent="0.2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" x14ac:dyDescent="0.2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" x14ac:dyDescent="0.2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" x14ac:dyDescent="0.2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" x14ac:dyDescent="0.2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" x14ac:dyDescent="0.2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" x14ac:dyDescent="0.2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" x14ac:dyDescent="0.2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" x14ac:dyDescent="0.2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" x14ac:dyDescent="0.2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" x14ac:dyDescent="0.2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" x14ac:dyDescent="0.2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" x14ac:dyDescent="0.2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" x14ac:dyDescent="0.2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" x14ac:dyDescent="0.2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" x14ac:dyDescent="0.2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" x14ac:dyDescent="0.2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" x14ac:dyDescent="0.2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" x14ac:dyDescent="0.2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" x14ac:dyDescent="0.2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" x14ac:dyDescent="0.2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" x14ac:dyDescent="0.2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" x14ac:dyDescent="0.2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" x14ac:dyDescent="0.2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" x14ac:dyDescent="0.2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" x14ac:dyDescent="0.2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" x14ac:dyDescent="0.2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" x14ac:dyDescent="0.2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" x14ac:dyDescent="0.2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" x14ac:dyDescent="0.2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" x14ac:dyDescent="0.2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" x14ac:dyDescent="0.2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" x14ac:dyDescent="0.2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" x14ac:dyDescent="0.2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" x14ac:dyDescent="0.2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" x14ac:dyDescent="0.2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" x14ac:dyDescent="0.2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" x14ac:dyDescent="0.2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" x14ac:dyDescent="0.2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" x14ac:dyDescent="0.2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" x14ac:dyDescent="0.2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" x14ac:dyDescent="0.2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" x14ac:dyDescent="0.2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" x14ac:dyDescent="0.2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9:E55"/>
  <sheetViews>
    <sheetView showGridLines="0" topLeftCell="A17" workbookViewId="0">
      <selection activeCell="B56" sqref="B56"/>
    </sheetView>
  </sheetViews>
  <sheetFormatPr baseColWidth="10" defaultColWidth="8.83203125" defaultRowHeight="15" x14ac:dyDescent="0.2"/>
  <cols>
    <col min="2" max="2" width="16.1640625" bestFit="1" customWidth="1"/>
    <col min="3" max="3" width="30.1640625" bestFit="1" customWidth="1"/>
    <col min="4" max="4" width="27.6640625" bestFit="1" customWidth="1"/>
    <col min="5" max="5" width="11.5" bestFit="1" customWidth="1"/>
    <col min="6" max="6" width="19.1640625" bestFit="1" customWidth="1"/>
    <col min="7" max="7" width="27.6640625" bestFit="1" customWidth="1"/>
    <col min="8" max="8" width="5.5" customWidth="1"/>
    <col min="9" max="9" width="21.1640625" bestFit="1" customWidth="1"/>
    <col min="10" max="11" width="35.1640625" bestFit="1" customWidth="1"/>
    <col min="12" max="15" width="9.6640625" bestFit="1" customWidth="1"/>
    <col min="16" max="16" width="15.5" bestFit="1" customWidth="1"/>
    <col min="17" max="17" width="12.1640625" bestFit="1" customWidth="1"/>
  </cols>
  <sheetData>
    <row r="9" spans="2:3" x14ac:dyDescent="0.2">
      <c r="B9" t="s">
        <v>313</v>
      </c>
    </row>
    <row r="10" spans="2:3" x14ac:dyDescent="0.2">
      <c r="B10" t="s">
        <v>314</v>
      </c>
    </row>
    <row r="13" spans="2:3" x14ac:dyDescent="0.2">
      <c r="B13" s="12" t="s">
        <v>16</v>
      </c>
      <c r="C13" t="s">
        <v>318</v>
      </c>
    </row>
    <row r="15" spans="2:3" x14ac:dyDescent="0.2">
      <c r="B15" s="12" t="s">
        <v>315</v>
      </c>
      <c r="C15" t="s">
        <v>317</v>
      </c>
    </row>
    <row r="16" spans="2:3" x14ac:dyDescent="0.2">
      <c r="B16" s="13" t="s">
        <v>23</v>
      </c>
      <c r="C16" s="14">
        <v>3847</v>
      </c>
    </row>
    <row r="17" spans="2:3" x14ac:dyDescent="0.2">
      <c r="B17" s="13" t="s">
        <v>19</v>
      </c>
      <c r="C17" s="14">
        <v>3786</v>
      </c>
    </row>
    <row r="18" spans="2:3" x14ac:dyDescent="0.2">
      <c r="B18" s="13" t="s">
        <v>316</v>
      </c>
      <c r="C18" s="14">
        <v>7633</v>
      </c>
    </row>
    <row r="31" spans="2:3" x14ac:dyDescent="0.2">
      <c r="B31" s="18" t="s">
        <v>322</v>
      </c>
    </row>
    <row r="34" spans="2:5" x14ac:dyDescent="0.2">
      <c r="B34" s="12" t="s">
        <v>315</v>
      </c>
      <c r="C34" t="s">
        <v>320</v>
      </c>
    </row>
    <row r="35" spans="2:5" x14ac:dyDescent="0.2">
      <c r="B35" s="13" t="s">
        <v>22</v>
      </c>
      <c r="C35" s="16">
        <v>0</v>
      </c>
    </row>
    <row r="36" spans="2:5" x14ac:dyDescent="0.2">
      <c r="B36" s="13" t="s">
        <v>26</v>
      </c>
      <c r="C36" s="16">
        <v>0</v>
      </c>
    </row>
    <row r="37" spans="2:5" x14ac:dyDescent="0.2">
      <c r="B37" s="13" t="s">
        <v>18</v>
      </c>
      <c r="C37" s="16">
        <v>2940</v>
      </c>
    </row>
    <row r="38" spans="2:5" x14ac:dyDescent="0.2">
      <c r="B38" s="13" t="s">
        <v>316</v>
      </c>
      <c r="C38" s="16">
        <v>2940</v>
      </c>
      <c r="E38" s="17">
        <f>GETPIVOTDATA("EA Play Season Pass
Price",$B$34)</f>
        <v>2940</v>
      </c>
    </row>
    <row r="43" spans="2:5" x14ac:dyDescent="0.2">
      <c r="B43" s="18" t="s">
        <v>323</v>
      </c>
    </row>
    <row r="46" spans="2:5" x14ac:dyDescent="0.2">
      <c r="B46" s="12" t="s">
        <v>315</v>
      </c>
      <c r="C46" t="s">
        <v>321</v>
      </c>
    </row>
    <row r="47" spans="2:5" x14ac:dyDescent="0.2">
      <c r="B47" s="13" t="s">
        <v>22</v>
      </c>
      <c r="C47" s="14">
        <v>0</v>
      </c>
    </row>
    <row r="48" spans="2:5" x14ac:dyDescent="0.2">
      <c r="B48" s="13" t="s">
        <v>26</v>
      </c>
      <c r="C48" s="14">
        <v>1920</v>
      </c>
      <c r="E48" s="17">
        <f>GETPIVOTDATA("Minecraft Season Pass Price",$B$46)</f>
        <v>3880</v>
      </c>
    </row>
    <row r="49" spans="2:3" x14ac:dyDescent="0.2">
      <c r="B49" s="13" t="s">
        <v>18</v>
      </c>
      <c r="C49" s="14">
        <v>1960</v>
      </c>
    </row>
    <row r="50" spans="2:3" x14ac:dyDescent="0.2">
      <c r="B50" s="13" t="s">
        <v>316</v>
      </c>
      <c r="C50" s="14">
        <v>3880</v>
      </c>
    </row>
    <row r="54" spans="2:3" x14ac:dyDescent="0.2">
      <c r="B54" t="s">
        <v>324</v>
      </c>
    </row>
    <row r="55" spans="2:3" x14ac:dyDescent="0.2">
      <c r="B55">
        <f>COUNT(B̳ases!A:A)</f>
        <v>295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36"/>
  <sheetViews>
    <sheetView showGridLines="0" showRowColHeaders="0" tabSelected="1" zoomScale="111" zoomScaleNormal="317" workbookViewId="0">
      <selection activeCell="H17" sqref="H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5" zeroHeight="1" x14ac:dyDescent="0.2"/>
  <cols>
    <col min="1" max="1" width="24.83203125" style="5" customWidth="1"/>
    <col min="2" max="2" width="3.5" style="7" customWidth="1"/>
    <col min="3" max="11" width="8.83203125" style="7" customWidth="1"/>
    <col min="12" max="12" width="6.5" style="7" customWidth="1"/>
    <col min="13" max="19" width="8.83203125" style="7" customWidth="1"/>
    <col min="20" max="20" width="15.6640625" style="7" customWidth="1"/>
    <col min="21" max="21" width="1.6640625" style="7" customWidth="1"/>
    <col min="22" max="16384" width="8.83203125" style="7" hidden="1"/>
  </cols>
  <sheetData>
    <row r="1" spans="1:20" customFormat="1" x14ac:dyDescent="0.2">
      <c r="A1" s="5"/>
    </row>
    <row r="2" spans="1:20" customFormat="1" ht="39" customHeight="1" thickBot="1" x14ac:dyDescent="0.4">
      <c r="A2" s="5"/>
      <c r="C2" s="20" t="s">
        <v>319</v>
      </c>
      <c r="D2" s="15"/>
      <c r="E2" s="15"/>
      <c r="F2" s="15"/>
      <c r="G2" s="15"/>
      <c r="H2" s="15"/>
      <c r="I2" s="15"/>
      <c r="J2" s="15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8.25" customHeight="1" thickTop="1" x14ac:dyDescent="0.2"/>
    <row r="4" spans="1:20" ht="7.5" customHeight="1" x14ac:dyDescent="0.2"/>
    <row r="5" spans="1:20" ht="10.5" customHeight="1" x14ac:dyDescent="0.2"/>
    <row r="6" spans="1:20" ht="9.75" customHeight="1" x14ac:dyDescent="0.2"/>
    <row r="7" spans="1:20" ht="33" customHeight="1" x14ac:dyDescent="0.2"/>
    <row r="8" spans="1:20" x14ac:dyDescent="0.2"/>
    <row r="9" spans="1:20" x14ac:dyDescent="0.2"/>
    <row r="10" spans="1:20" x14ac:dyDescent="0.2"/>
    <row r="11" spans="1:20" x14ac:dyDescent="0.2"/>
    <row r="12" spans="1:20" x14ac:dyDescent="0.2"/>
    <row r="13" spans="1:20" x14ac:dyDescent="0.2"/>
    <row r="14" spans="1:20" x14ac:dyDescent="0.2"/>
    <row r="15" spans="1:20" x14ac:dyDescent="0.2"/>
    <row r="16" spans="1:20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Wandré Cunha</cp:lastModifiedBy>
  <dcterms:created xsi:type="dcterms:W3CDTF">2024-12-19T13:13:10Z</dcterms:created>
  <dcterms:modified xsi:type="dcterms:W3CDTF">2026-01-11T20:34:43Z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